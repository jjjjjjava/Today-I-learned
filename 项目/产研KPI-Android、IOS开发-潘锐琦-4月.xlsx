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填表说明" sheetId="11" r:id="rId1"/>
    <sheet name="Android、iOS开发-员工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<sst xmlns="http://schemas.openxmlformats.org/spreadsheetml/2006/main" count="103" uniqueCount="99">
  <si>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【填表说明】：</t>
  </si>
  <si>
    <t>请务必仔细阅读以下说明</t>
  </si>
  <si>
    <r>
      <rPr>
        <sz val="10"/>
        <color theme="1"/>
        <rFont val="微软雅黑"/>
        <charset val="134"/>
      </rPr>
      <t>1. 填写内容：由</t>
    </r>
    <r>
      <rPr>
        <b/>
        <sz val="10"/>
        <color rgb="FF0070C0"/>
        <rFont val="微软雅黑"/>
        <charset val="134"/>
      </rPr>
      <t>员工</t>
    </r>
    <r>
      <rPr>
        <sz val="10"/>
        <color theme="1"/>
        <rFont val="微软雅黑"/>
        <charset val="134"/>
      </rPr>
      <t>填写表格中</t>
    </r>
    <r>
      <rPr>
        <b/>
        <sz val="10"/>
        <color rgb="FF0070C0"/>
        <rFont val="微软雅黑"/>
        <charset val="134"/>
      </rPr>
      <t>标绿色部分</t>
    </r>
    <r>
      <rPr>
        <sz val="10"/>
        <color theme="1"/>
        <rFont val="微软雅黑"/>
        <charset val="134"/>
      </rPr>
      <t>，由</t>
    </r>
    <r>
      <rPr>
        <b/>
        <sz val="10"/>
        <color rgb="FF0070C0"/>
        <rFont val="微软雅黑"/>
        <charset val="134"/>
      </rPr>
      <t>评估人</t>
    </r>
    <r>
      <rPr>
        <sz val="10"/>
        <color theme="1"/>
        <rFont val="微软雅黑"/>
        <charset val="134"/>
      </rPr>
      <t>填写表格中</t>
    </r>
    <r>
      <rPr>
        <b/>
        <sz val="10"/>
        <color rgb="FF0070C0"/>
        <rFont val="微软雅黑"/>
        <charset val="134"/>
      </rPr>
      <t>标粉色部分</t>
    </r>
  </si>
  <si>
    <t>2. 绩效评估：</t>
  </si>
  <si>
    <t>绩效分值</t>
  </si>
  <si>
    <t>绩效评估定义</t>
  </si>
  <si>
    <t>杰出、持续表现优秀</t>
  </si>
  <si>
    <t>部分超出期望</t>
  </si>
  <si>
    <t>基本符合期望</t>
  </si>
  <si>
    <t>需要提高</t>
  </si>
  <si>
    <t>亟待改进</t>
  </si>
  <si>
    <t>不合格</t>
  </si>
  <si>
    <r>
      <rPr>
        <sz val="10"/>
        <color theme="1"/>
        <rFont val="微软雅黑"/>
        <charset val="134"/>
      </rPr>
      <t>3. 绩效</t>
    </r>
    <r>
      <rPr>
        <b/>
        <sz val="10"/>
        <color rgb="FF0070C0"/>
        <rFont val="微软雅黑"/>
        <charset val="134"/>
      </rPr>
      <t>总分值对应绩效等级</t>
    </r>
    <r>
      <rPr>
        <sz val="10"/>
        <color theme="1"/>
        <rFont val="微软雅黑"/>
        <charset val="134"/>
      </rPr>
      <t>如下：</t>
    </r>
  </si>
  <si>
    <t>绩效等级</t>
  </si>
  <si>
    <t>对应分值区间</t>
  </si>
  <si>
    <t>对应等级定义说明</t>
  </si>
  <si>
    <t>A</t>
  </si>
  <si>
    <t>4.25&lt;得分≤5</t>
  </si>
  <si>
    <t>卓越，远超预期，持续突破目标，具有标杆性贡献；</t>
  </si>
  <si>
    <t>B</t>
  </si>
  <si>
    <t>3.75&lt;得分≤4.25</t>
  </si>
  <si>
    <t>优秀，超额完成目标，表现高于部门平均水准；</t>
  </si>
  <si>
    <t>C</t>
  </si>
  <si>
    <t>3.25&lt;得分≤3.75</t>
  </si>
  <si>
    <t>良好，基本达标，符合岗位期望；</t>
  </si>
  <si>
    <t>C-</t>
  </si>
  <si>
    <t>2.75&lt;得分≤3.25</t>
  </si>
  <si>
    <t>待改进，部分未达期望；</t>
  </si>
  <si>
    <t>D</t>
  </si>
  <si>
    <t>得分≤2.75</t>
  </si>
  <si>
    <t>不合格，严重未达预期，影响工作正常开展，急需改进；</t>
  </si>
  <si>
    <r>
      <rPr>
        <sz val="10"/>
        <color theme="1"/>
        <rFont val="微软雅黑"/>
        <charset val="134"/>
      </rPr>
      <t>4. "</t>
    </r>
    <r>
      <rPr>
        <b/>
        <sz val="10"/>
        <color rgb="FF0070C0"/>
        <rFont val="微软雅黑"/>
        <charset val="134"/>
      </rPr>
      <t>自评说明</t>
    </r>
    <r>
      <rPr>
        <sz val="10"/>
        <color theme="1"/>
        <rFont val="微软雅黑"/>
        <charset val="134"/>
      </rPr>
      <t>"：当自评得分≥4时，必填；当自评得分﹤4时，选填</t>
    </r>
  </si>
  <si>
    <r>
      <rPr>
        <sz val="10"/>
        <color theme="1"/>
        <rFont val="微软雅黑"/>
        <charset val="134"/>
      </rPr>
      <t>5. "</t>
    </r>
    <r>
      <rPr>
        <b/>
        <sz val="10"/>
        <color rgb="FF0070C0"/>
        <rFont val="微软雅黑"/>
        <charset val="134"/>
      </rPr>
      <t>评估说明"</t>
    </r>
    <r>
      <rPr>
        <sz val="10"/>
        <color theme="1"/>
        <rFont val="微软雅黑"/>
        <charset val="134"/>
      </rPr>
      <t>：下列两种情形出现之一则评估人需要必须填写"评估说明"，A：当评估得分≥4；B.当评估得分≤2</t>
    </r>
  </si>
  <si>
    <t>6. "关键指标"：由评估人为员工制定的核心工作指标，由定性和定量指标两种组成，并由评估人与员工于每季度初沟通确认</t>
  </si>
  <si>
    <t>7. "具体考核内容"：关键指标的评分标准，由评估人确认</t>
  </si>
  <si>
    <t>8. 评估人范围：公司领导班子、中心/事业部负责人、一级部门负责人，其他（请提前与HR沟通说明）</t>
  </si>
  <si>
    <r>
      <rPr>
        <sz val="10"/>
        <color theme="1"/>
        <rFont val="微软雅黑"/>
        <charset val="134"/>
      </rPr>
      <t>9. 绩效确认：绩效考核等级为</t>
    </r>
    <r>
      <rPr>
        <b/>
        <sz val="10"/>
        <color rgb="FF0070C0"/>
        <rFont val="微软雅黑"/>
        <charset val="134"/>
      </rPr>
      <t>D</t>
    </r>
    <r>
      <rPr>
        <sz val="10"/>
        <color theme="1"/>
        <rFont val="微软雅黑"/>
        <charset val="134"/>
      </rPr>
      <t>的，请HR打印纸质版，评估人与员工签字确认，人力资源部备档，同时应用于绩效面谈</t>
    </r>
  </si>
  <si>
    <t>《月度绩效考核表》</t>
  </si>
  <si>
    <t>员工姓名</t>
  </si>
  <si>
    <t>潘锐琦</t>
  </si>
  <si>
    <t>员工岗位</t>
  </si>
  <si>
    <t>Android开发工程师</t>
  </si>
  <si>
    <t>中心/事业部-一级部门</t>
  </si>
  <si>
    <t>产品中心/Android系统研发二部</t>
  </si>
  <si>
    <t>评估人</t>
  </si>
  <si>
    <t>蔡兴明</t>
  </si>
  <si>
    <t>考核周期</t>
  </si>
  <si>
    <t>2026.03.14 - 2026.04.21</t>
  </si>
  <si>
    <t>考核日期</t>
  </si>
  <si>
    <t>2026.04.21</t>
  </si>
  <si>
    <t>考核维度</t>
  </si>
  <si>
    <t>岗位关键指标</t>
  </si>
  <si>
    <t>具体考核内容</t>
  </si>
  <si>
    <t>评分标准</t>
  </si>
  <si>
    <t>考核权重</t>
  </si>
  <si>
    <t>自评</t>
  </si>
  <si>
    <t>上级评估</t>
  </si>
  <si>
    <t>自评得分</t>
  </si>
  <si>
    <t>自评说明</t>
  </si>
  <si>
    <t>评估得分</t>
  </si>
  <si>
    <t>评估说明</t>
  </si>
  <si>
    <t>业务贡献度</t>
  </si>
  <si>
    <t>产出</t>
  </si>
  <si>
    <r>
      <t>考核周期内</t>
    </r>
    <r>
      <rPr>
        <b/>
        <sz val="9"/>
        <rFont val="微软雅黑"/>
        <charset val="134"/>
      </rPr>
      <t>业务需求</t>
    </r>
    <r>
      <rPr>
        <sz val="9"/>
        <rFont val="微软雅黑"/>
        <charset val="134"/>
      </rPr>
      <t>完成的及时性、质量、饱和度；
基本要求：
1、积极参与需求评审沟通讨论，推进产品完善；
2、给出合理计划，保证任务按期上线；
3、配合完成产线迭代需求以及产品经理/上级领导安排的临时任务；
4、及时处理内部/外部反馈的问题；
【注】bug分级：
P0：核心功能不可用，直接影响营收或用户数据安全；
P1：主要功能异常，但可降级使用；
P2：次要功能问题，不影响主流程；</t>
    </r>
  </si>
  <si>
    <r>
      <rPr>
        <b/>
        <sz val="9"/>
        <rFont val="微软雅黑"/>
        <charset val="134"/>
      </rPr>
      <t>5分：</t>
    </r>
    <r>
      <rPr>
        <sz val="9"/>
        <rFont val="微软雅黑"/>
        <charset val="134"/>
      </rPr>
      <t xml:space="preserve">主动付出追赶进度，主动优化流程或提出技术改进，按时或提前交付，且无P0/P1级线上故障。
</t>
    </r>
    <r>
      <rPr>
        <b/>
        <sz val="9"/>
        <rFont val="微软雅黑"/>
        <charset val="134"/>
      </rPr>
      <t>4分：</t>
    </r>
    <r>
      <rPr>
        <sz val="9"/>
        <rFont val="微软雅黑"/>
        <charset val="134"/>
      </rPr>
      <t xml:space="preserve">按时交付，且无P0/P1级线上故障，少量非阻塞性问题0.5天内修复；
</t>
    </r>
    <r>
      <rPr>
        <b/>
        <sz val="9"/>
        <rFont val="微软雅黑"/>
        <charset val="134"/>
      </rPr>
      <t>3分：</t>
    </r>
    <r>
      <rPr>
        <sz val="9"/>
        <rFont val="微软雅黑"/>
        <charset val="134"/>
      </rPr>
      <t xml:space="preserve">按时交付，上线后无P0级线上故障且1天内修复；
</t>
    </r>
    <r>
      <rPr>
        <b/>
        <sz val="9"/>
        <rFont val="微软雅黑"/>
        <charset val="134"/>
      </rPr>
      <t>2分：</t>
    </r>
    <r>
      <rPr>
        <sz val="9"/>
        <rFont val="微软雅黑"/>
        <charset val="134"/>
      </rPr>
      <t xml:space="preserve">无主动追赶态度，造成一次需求轻微延期，或上线后存在P1/P2级问题1天内未修复；
</t>
    </r>
    <r>
      <rPr>
        <b/>
        <sz val="9"/>
        <rFont val="微软雅黑"/>
        <charset val="134"/>
      </rPr>
      <t>1分：</t>
    </r>
    <r>
      <rPr>
        <sz val="9"/>
        <rFont val="微软雅黑"/>
        <charset val="134"/>
      </rPr>
      <t xml:space="preserve">无主动追赶态度，造成两次及以上需求延期，或上线后出现P0/P1级故障导致业务中断；
</t>
    </r>
    <r>
      <rPr>
        <b/>
        <sz val="9"/>
        <rFont val="微软雅黑"/>
        <charset val="134"/>
      </rPr>
      <t>0分：</t>
    </r>
    <r>
      <rPr>
        <sz val="9"/>
        <rFont val="微软雅黑"/>
        <charset val="134"/>
      </rPr>
      <t>迭代内任务不饱和，不主动反馈，造成人力浪费；</t>
    </r>
  </si>
  <si>
    <t xml:space="preserve">
**1. AI 视频助手（CameraClaw）主线迭代（Android 端主导，提前交付）**
1.1 核心功能第五~七期迭代（Android 端主导）
- 第五期收尾：完成任务列表与执行记录历史页拆分、AGUI 源码包化解耦、测试抓包能力改造、视频上传容量控制、图片标注响应格式适配。
- 第六期：引入策略模式工厂重构中断卡片体系，支持任务/标准创建与删除卡片的精细化分发；流式交互优化（自动滚底、文本复制与修改、键盘焦点收敛等）。
- 第七期：新增日报卡片能力，排查 SSE 链路并调整超时至 5 分钟以适配长时报告生成；图片查看器交互重构。
- 持续清理模块技术债，为后续 AI 类功能接入沉淀可复用架构能力。
1.2 AI 视频助手全量国际化改造
- 系统性梳理 ai_agent_v2 模块全量文案，覆盖工具调用头部、流式气泡、消息菜单、门店设备选择、即拍即检等核心组件，统一拦截/发送/显示三处核心逻辑的多语言一致性。
- 完成新增文案在 **8 个语种（zh/en/zh_TW/ja/id/it/th/vi）** 的同步落地，保障海外版本同步上线。
1.3 完成面向公司高层的 AI 视频助手产品演示支撑。
**2.杭州展会专项交付（提前交付，已圆满助力展会结束）**
2.1 即拍即检（展会新增需求）：
- 完成入口胶囊按钮、拦截逻辑、卡片组件从 0 到 1 的能力接入；主导邮箱输入交互两轮迭代（弹框 → 原地输入 → 单框式），解决键盘闪退稳定性问题；实现流式状态下的卡片交互禁用与胶囊按钮动态切换停止能力，保障体验闭环。
2.2 收银防损（银豹 Pos 适配）
- 快速定位新设备显示异常根因为分辨率配置差异，落地适配方案，按时满足展会使用要求。
**3. 线上稳定性专项治理（ANR 方向）**
主动开展线上稳定性专项排查，本月定位并解决 **3 个重点 ANR 问题**（已完成开发，待发版验证）：
3.1 EasyDataStore 主线程 IO 阻塞 ANR（架构级治理）
- 根因定位：putData/clearData 使用 runBlocking 同步等待磁盘 IO，高频触发路径经 AppLifecycleObserver → EventBus → 埋点清理链路阻塞主线程。
- 方案选型：对比 fire-and-forget、写透缓存、suspend API 三方案，综合改动范围与未来一致性保证，选定写透缓存方案。
- 改造落地：引入单线程串行写调度器、pendingCache 写透缓存、CAS 语义清理；**API 签名零破坏，项目 607 处调用点无需修改**，以单文件改动收敛全局风险。
3.2 APNG 解码线程后台持续运行导致 ANR
- 定位到浮动按钮的 APNGDrawable 解码线程在 Activity 不可见时未暂停，多实例栈深时最多产生 4 个线程争抢 MessageQueue 锁。
- 在基类生命周期中统一接入解码线程暂停/恢复，消除后台锁竞争。
3.3 播放器释放主线程阻塞 ANR
- 定位到 IjkPlayView 同步调用 reset() 触发解码线程 pthread_join 等待，阻塞主线程。
- 新增异步释放机制，旧播放器释放迁移至后台线程；主线程仅同步完成 listener 清理与 Surface 断开；强引用防 GC + 超时兜底防止解码线程死锁导致内存泄漏。
**4. 万店掌主线**
4.1 录像回放滑动条模块架构重构（已上线运行）
- 修复线上遗留问题：跨天滑动时当天数据丢失、不同日期数据错位写入导致的缓存污染。
- Timebar 架构重构：引入滑动状态机（IDLE/SLIDING/PENDING/LOADED/ROLLBACK）替换原 1.1 秒延迟 Handler 方案，彻底解决跨天一次性滑动后录像条不显示的痛点；新增邻天数据预取、滑动回滚动画、无录像区间折半法跳转等能力，显著提升回放交互流畅度。
4.2 IPC_Search 需求支持
- IPC_Search：设备详情页跳转设备管理、国际化改造、横竖屏 UI 超出空间问题修复，按节奏提测上线。
**5. 招财猫商品/订单接口重构支持**
- 主导项目接口清单梳理（共 **26 个接口**），分类识别变更类型（URL/参数/响应结构），输出对齐清单并推动与后端确认。
- 基于复杂度分级建立排期评估模型，给出乐观/中等/悲观三档排期方案（12.5 / 14.5 / 19.5 天），为整体排期决策提供依据。
- 完成商品列表接口字段对齐（skuType/goodsGroupSpecs/unificationSpec 等），实现多规格商品展示价格取值与规格属性映射；下单接口字段同步切换，保障联调顺利推进。
**6. Pos 需求支持**
- 模糊搜索需求：无码商品：空状态组件化重构、搜索框清除交互接入；定位并修复 StateFlow 相同数据不触发 UI 更新导致列表卡在 Loading 的问题。
- 云值守 Pos：实现商品按首次加购序号顺序传递的下单逻辑。
本周期整体交付情况总结：所有需求均按时交付，其中 AI 视频助手主线迭代与杭州展会专项均提前交付；迭代周期内无 P0/P1 级线上故障。</t>
  </si>
  <si>
    <t>质量</t>
  </si>
  <si>
    <r>
      <rPr>
        <sz val="9"/>
        <rFont val="微软雅黑"/>
        <charset val="134"/>
      </rPr>
      <t>考核开发人员周期内</t>
    </r>
    <r>
      <rPr>
        <b/>
        <sz val="9"/>
        <rFont val="微软雅黑"/>
        <charset val="134"/>
      </rPr>
      <t>代码规范性、设计合理性及Review参与度</t>
    </r>
    <r>
      <rPr>
        <sz val="9"/>
        <rFont val="微软雅黑"/>
        <charset val="134"/>
      </rPr>
      <t>；
基本要求：
1、所产出的代码设计合理，逻辑清晰，无严重漏洞；
2、自测充分，功能提测后无P0级bug；
3、功能上线后运行稳定，无P0、P1级bug；</t>
    </r>
  </si>
  <si>
    <r>
      <rPr>
        <b/>
        <sz val="9"/>
        <rFont val="微软雅黑"/>
        <charset val="134"/>
      </rPr>
      <t>5分：</t>
    </r>
    <r>
      <rPr>
        <sz val="9"/>
        <rFont val="微软雅黑"/>
        <charset val="134"/>
      </rPr>
      <t xml:space="preserve">代码质量优秀，提测无P1级及以上bug，功能发布上线后无P2级及以上bug；
</t>
    </r>
    <r>
      <rPr>
        <b/>
        <sz val="9"/>
        <rFont val="微软雅黑"/>
        <charset val="134"/>
      </rPr>
      <t>4分：</t>
    </r>
    <r>
      <rPr>
        <sz val="9"/>
        <rFont val="微软雅黑"/>
        <charset val="134"/>
      </rPr>
      <t xml:space="preserve">代码质量良好，提测无P1级及以上bug，功能发布上线后无P1级及以上bug；
</t>
    </r>
    <r>
      <rPr>
        <b/>
        <sz val="9"/>
        <rFont val="微软雅黑"/>
        <charset val="134"/>
      </rPr>
      <t>3分：</t>
    </r>
    <r>
      <rPr>
        <sz val="9"/>
        <rFont val="微软雅黑"/>
        <charset val="134"/>
      </rPr>
      <t xml:space="preserve">提测后出现P1级bug，功能上线后出现P2级bug，但都能很快修复；
</t>
    </r>
    <r>
      <rPr>
        <b/>
        <sz val="9"/>
        <rFont val="微软雅黑"/>
        <charset val="134"/>
      </rPr>
      <t>2分：</t>
    </r>
    <r>
      <rPr>
        <sz val="9"/>
        <rFont val="微软雅黑"/>
        <charset val="134"/>
      </rPr>
      <t xml:space="preserve">提测后出现P0级bug，功能上线后出现P2级bug，但都能很快修复；
</t>
    </r>
    <r>
      <rPr>
        <b/>
        <sz val="9"/>
        <rFont val="微软雅黑"/>
        <charset val="134"/>
      </rPr>
      <t>1分：</t>
    </r>
    <r>
      <rPr>
        <sz val="9"/>
        <rFont val="微软雅黑"/>
        <charset val="134"/>
      </rPr>
      <t xml:space="preserve">功能上线后出现P1级bug；
</t>
    </r>
    <r>
      <rPr>
        <b/>
        <sz val="9"/>
        <rFont val="微软雅黑"/>
        <charset val="134"/>
      </rPr>
      <t>0分：</t>
    </r>
    <r>
      <rPr>
        <sz val="9"/>
        <rFont val="微软雅黑"/>
        <charset val="134"/>
      </rPr>
      <t>功能上线后出现P0级bug；</t>
    </r>
  </si>
  <si>
    <t>**1. 架构设计能力**
1.1 ANR 治理方案选型（EasyDataStore 架构级改造） 面对主线程 IO 阻塞导致的 ANR 问题，未选择最快的 fire-and-forget 方案，而是系统性对比了 fire-and-forget、写透缓存、suspend API 三种方案，综合评估"改动范围"与"未来一致性保证"后，选定写透缓存方案。最终以**单文件改动**收敛全局风险，**API 签名零破坏保障项目 607 处调用点无需修改**，在解决当前问题的同时防御了未来新代码的误用风险。
1.2 Timebar 滑动状态机设计 针对原方案"1.1 秒延迟 Handler"存在的跨天滑动数据错乱问题，引入 IDLE/SLIDING/PENDING/LOADED/ROLLBACK 五态状态机方案，将原先基于时间等待的隐式流程显式化，彻底解决跨天一次性滑动后录像条不显示的痛点，同时具备良好的可扩展性（后续支持邻天预取、滑动回滚动画等能力均基于此架构平滑接入）。
1.3 AI 视频助手中断卡片策略模式重构 对中断卡片体系引入策略模式工厂，根据 component 与 intent 维度实现精细化卡片分发，替代原先分支嵌套式实现，显著降低后续卡片类型扩展的改动成本。
**2. 代码质量主动优化**
2.1 Timebar 模块主动重构（非需求驱动） Timebar 重构并非由需求触发，而是在完成录像回放 Bug 修复过程中，识别出原延迟 Handler 方案的根本性设计缺陷后，主动发起的架构级优化。已上线运行，交互流畅度明显提升。
2.2 招财猫接口规范沉淀 主导项目 26 个接口清单梳理、分类与变更点识别，产出接口清单文档推动与后端对齐；同步建立基于复杂度分级的排期评估模型，为后续同类接口重构任务提供可复用的评估方法。
2.3 AGUI 源码解耦 将 AGUI 源码以包形式引入，降低与主工程的耦合度，便于后续独立维护与版本升级。
**3. 问题定位能力**
3.1 线上 ANR 链路根因定位 基于 ANR trace 分析，精准定位 3 类高隐蔽性问题：
- 通过线程编号与 MessageQueue 锁持有关系，反推定位到浮动按钮 APNGDrawable 解码线程未随生命周期暂停的根因；
- 从 EventBus 主线程回调链路追溯至 DataStore 内部 runBlocking 的阻塞根因；
- 识别 IjkPlayView 中 reset() 内部 pthread_join 的隐式阻塞特性，定位播放器同步释放导致的 ANR。
3.2 万店掌缓存污染定位 针对"3 月 19 号数据被缓存到 3 月 18 号 key 下"的隐蔽 Bug，通过代码回溯定位到 mergeMultiDayRecords 中"强制缓存当前显示日期"的历史逻辑与实际数据日期不匹配，精准移除污染源。
3.3 无码商品列表卡死定位 针对搜索列表卡在 Loading 的问题，定位根因为 StateFlow 的 equals 比较在数据相同时不触发 collector，在 showContent() 中补充可见性恢复逻辑，彻底解决界面状态卡死问题。
**4. 提测质量说明**
本周期 Android 侧交付需求提测质量稳定，**无 P0/P1 级 Bug**。AI 视频助手 iOS 侧出现的适配性问题，系产品策略"Android 先行、iOS 滞后"既定节奏下的可预期情况，不由本人承担 iOS 侧联调职责，不影响 Android 侧交付质量评价。</t>
  </si>
  <si>
    <t>AI应用落地成果</t>
  </si>
  <si>
    <t>AI辅助个人开发效能提升</t>
  </si>
  <si>
    <r>
      <rPr>
        <sz val="9"/>
        <rFont val="微软雅黑"/>
        <charset val="134"/>
      </rPr>
      <t>考核Android/iOS开发人员在日常工作中实际</t>
    </r>
    <r>
      <rPr>
        <b/>
        <sz val="9"/>
        <rFont val="微软雅黑"/>
        <charset val="134"/>
      </rPr>
      <t>使用AI工具</t>
    </r>
    <r>
      <rPr>
        <sz val="9"/>
        <rFont val="微软雅黑"/>
        <charset val="134"/>
      </rPr>
      <t>的深度与频率，包括但不限于： 
① AI辅助</t>
    </r>
    <r>
      <rPr>
        <b/>
        <sz val="9"/>
        <rFont val="微软雅黑"/>
        <charset val="134"/>
      </rPr>
      <t>编程</t>
    </r>
    <r>
      <rPr>
        <sz val="9"/>
        <rFont val="微软雅黑"/>
        <charset val="134"/>
      </rPr>
      <t>（代码生成、智能补全、代码重构、单元测试生成）；
② AI辅助</t>
    </r>
    <r>
      <rPr>
        <b/>
        <sz val="9"/>
        <rFont val="微软雅黑"/>
        <charset val="134"/>
      </rPr>
      <t>排查问题</t>
    </r>
    <r>
      <rPr>
        <sz val="9"/>
        <rFont val="微软雅黑"/>
        <charset val="134"/>
      </rPr>
      <t>（Crash日志分析、问题定位、性能瓶颈识别）；
③ AI辅助</t>
    </r>
    <r>
      <rPr>
        <b/>
        <sz val="9"/>
        <rFont val="微软雅黑"/>
        <charset val="134"/>
      </rPr>
      <t>文档整理</t>
    </r>
    <r>
      <rPr>
        <sz val="9"/>
        <rFont val="微软雅黑"/>
        <charset val="134"/>
      </rPr>
      <t>（接口文档生成、注释完善、README撰写）； 
④ AI辅助</t>
    </r>
    <r>
      <rPr>
        <b/>
        <sz val="9"/>
        <rFont val="微软雅黑"/>
        <charset val="134"/>
      </rPr>
      <t>UI/UX分析</t>
    </r>
    <r>
      <rPr>
        <sz val="9"/>
        <rFont val="微软雅黑"/>
        <charset val="134"/>
      </rPr>
      <t xml:space="preserve">（界面规范检查、设计走查辅助）；
</t>
    </r>
    <r>
      <rPr>
        <sz val="9"/>
        <color theme="8"/>
        <rFont val="微软雅黑"/>
        <charset val="134"/>
      </rPr>
      <t>* 须提供可追溯的AI使用记录（如对话截图、工具日志或产出物），无记录者视为未使用；</t>
    </r>
  </si>
  <si>
    <r>
      <rPr>
        <b/>
        <sz val="9"/>
        <rFont val="微软雅黑"/>
        <charset val="134"/>
      </rPr>
      <t>5分</t>
    </r>
    <r>
      <rPr>
        <sz val="9"/>
        <rFont val="微软雅黑"/>
        <charset val="134"/>
      </rPr>
      <t>：每月AI使用场景覆盖4类，可提供清晰使用记录，且AI辅助带来效率提升≥80%（类似工作原本1人天→0.2人天以内，有数据佐证）；</t>
    </r>
    <r>
      <rPr>
        <b/>
        <sz val="9"/>
        <rFont val="微软雅黑"/>
        <charset val="134"/>
      </rPr>
      <t xml:space="preserve">
4分</t>
    </r>
    <r>
      <rPr>
        <sz val="9"/>
        <rFont val="微软雅黑"/>
        <charset val="134"/>
      </rPr>
      <t>：每月AI使用场景覆盖≥3类，可提供清晰使用记录，且AI辅助带来效率提升≥50%；</t>
    </r>
    <r>
      <rPr>
        <b/>
        <sz val="9"/>
        <rFont val="微软雅黑"/>
        <charset val="134"/>
      </rPr>
      <t xml:space="preserve">
3分</t>
    </r>
    <r>
      <rPr>
        <sz val="9"/>
        <rFont val="微软雅黑"/>
        <charset val="134"/>
      </rPr>
      <t>：每月AI使用场景覆盖≥1类，有基础使用记录，且AI辅助带来效率提升≥20%；</t>
    </r>
    <r>
      <rPr>
        <b/>
        <sz val="9"/>
        <rFont val="微软雅黑"/>
        <charset val="134"/>
      </rPr>
      <t xml:space="preserve">
2分</t>
    </r>
    <r>
      <rPr>
        <sz val="9"/>
        <rFont val="微软雅黑"/>
        <charset val="134"/>
      </rPr>
      <t>：仅偶尔尝试AI工具，使用场景单一，记录不完整，未见明显效率变化；</t>
    </r>
    <r>
      <rPr>
        <b/>
        <sz val="9"/>
        <rFont val="微软雅黑"/>
        <charset val="134"/>
      </rPr>
      <t xml:space="preserve">
1分</t>
    </r>
    <r>
      <rPr>
        <sz val="9"/>
        <rFont val="微软雅黑"/>
        <charset val="134"/>
      </rPr>
      <t>：极少使用AI工具，基本依赖人工完成；</t>
    </r>
    <r>
      <rPr>
        <b/>
        <sz val="9"/>
        <rFont val="微软雅黑"/>
        <charset val="134"/>
      </rPr>
      <t xml:space="preserve">
0分</t>
    </r>
    <r>
      <rPr>
        <sz val="9"/>
        <rFont val="微软雅黑"/>
        <charset val="134"/>
      </rPr>
      <t>：考核周期内未使用任何AI工具，或无任何可追溯记录；</t>
    </r>
  </si>
  <si>
    <r>
      <t>**1. AI 工具使用全景**
本周期深度使用 **Claude Code、Kiro、Cursor、豆包、DeepSeek、通义千问** 共 6 款 AI 工具，覆盖评分标准定义的 4 类使用场景，形成工具矩阵化应用：
- **Claude Code / Cursor / Kiro**：主力承担 IDE 内编程辅助与重构任务；
- **豆包 / DeepSeek / 通义千问**：承担独立问题咨询、方案对比、快速查询等轻量场景，按问题类型做工具选型分流。
**2. 场景一：AI 辅助编程（高频使用）**
2.1 代码生成与智能补全
- AI 视频助手第五~七期</t>
    </r>
    <r>
      <rPr>
        <sz val="9"/>
        <rFont val="Arial"/>
        <charset val="134"/>
      </rPr>
      <t>�</t>
    </r>
    <r>
      <rPr>
        <sz val="9"/>
        <rFont val="微软雅黑"/>
        <charset val="134"/>
      </rPr>
      <t>章代码：中断卡片策略模式工厂、日报卡片组件、流式交互逻辑、邮箱输入交互重构等大量业务代码由 AI 辅助生成，显著降低样板代码编写耗时。
- 多语言国际化改造：AI 辅助完成 ai_agent_v2 模块 8 语种（含日、泰、越、意等小语种）文案翻译与 ARB 文件同步校对，较纯人工翻译效率提升显著。
2.2 代码重构与优化
- Timebar 滑动状态机重构方案：借助 AI 完成状态机状态枚举、状态迁移逻辑的初稿设计，再人工校正业务细节。
- EasyDataStore 写透缓存改造：AI 辅助完成 pendingCache + CAS 清理的核心代码片段生成。
**3. 场景二：AI 辅助排查问题（深度使用，本月最大效率提升来源）**
3.1 ANR / Crash 根因定位
- **EasyDataStore ANR 定位**：借助 AI 分析 ANR trace，快速识别 runBlocking + DataStore 的阻塞链路，并对比 fire-and-forget / 写透缓存 / suspend API 三方案优劣，辅助形成技术选型依据。
- **APNG 解码线程 ANR 定位**：AI 协助分析 MessageQueue 锁竞争与 FrameDecoderExecutor 线程持有关系，加速根因推导。
- **IjkPlayView ANR 定位**：AI 辅助识别 pthread_join 的隐式阻塞特性，快速锁定主线程等待解码线程退出的问题点。
3.2 疑难 Bug 定位
- 万店掌缓存污染（3.19 数据写入 3.18 key）根因推导；
- StateFlow 相同数据不触发 collector 的机制溯源；
- 均通过 AI 辅助快速定位到关键代码行，大幅压缩排查耗时。
**4. 场景三：AI 辅助文档整理**
4.1 招财猫接口文档产出 26 个接口清单的分类梳理、变更点对比表、复杂度分级排期评估模型（乐观/中等/悲观三档方案），均由 AI 辅助完成结构化输出，**从 0 到 1 成稿效率较纯人工撰写提升 50% 以上**。
4.2 ANR 治理方案文档 三个 ANR 问题的根因分析、方案选型对比、改造落地说明等技术文档，均借助 AI 辅助完成结构化组织。
**5. 效率提升评估与记录佐证**
5.1 综合效率提升 本周期 AI 工具参与深度与广度较以往显著提升，综合评估核心工作场景 **效率提升约 50~60%**：
- 复杂排查类任务（ANR 根因定位、缓存污染定位）：原本需 0.5~1 天的排查工作，AI 辅助后 2~4 小时内可定位，提升约 60%；
- 业务功能类代码：中高度复用场景（如国际化、卡片组件扩展）提升约 50%；
- 文档产出类任务：结构化文档（接口清单、方案对比）提升约 50~60%。
5.2 使用记录可追溯
- Claude Code、Cursor、Kiro 的 IDE 内对话会话与代码变更历史完整保留；
- DeepSeek、豆包、通义千问的独立咨询记录可回溯；
- 核心产出物（招财猫接口文档、ANR 治理方案文档、状态机设计初稿）均可作为 AI 协同产出佐证材料。</t>
    </r>
  </si>
  <si>
    <t>部门/产品线AI落地价值产出</t>
  </si>
  <si>
    <r>
      <rPr>
        <sz val="9"/>
        <rFont val="微软雅黑"/>
        <charset val="134"/>
      </rPr>
      <t>考核Android/iOS开发人员在考核周期内，主导/参与所属部门/产品线</t>
    </r>
    <r>
      <rPr>
        <b/>
        <sz val="9"/>
        <rFont val="微软雅黑"/>
        <charset val="134"/>
      </rPr>
      <t>应用AI实现业务或效率价值</t>
    </r>
    <r>
      <rPr>
        <sz val="9"/>
        <rFont val="微软雅黑"/>
        <charset val="134"/>
      </rPr>
      <t xml:space="preserve">的产出情况，包括但不限于：
① </t>
    </r>
    <r>
      <rPr>
        <b/>
        <sz val="9"/>
        <rFont val="微软雅黑"/>
        <charset val="134"/>
      </rPr>
      <t>利用AI技术（如端侧AI/SDK集成）完成具体业务功能或流程</t>
    </r>
    <r>
      <rPr>
        <sz val="9"/>
        <rFont val="微软雅黑"/>
        <charset val="134"/>
      </rPr>
      <t xml:space="preserve">，产生可衡量的业务价值（如提升X%用户活跃度、减少Y%崩溃率）； 
② </t>
    </r>
    <r>
      <rPr>
        <b/>
        <sz val="9"/>
        <rFont val="微软雅黑"/>
        <charset val="134"/>
      </rPr>
      <t>通过AI工具/平台实现特定场景的自动化</t>
    </r>
    <r>
      <rPr>
        <sz val="9"/>
        <rFont val="微软雅黑"/>
        <charset val="134"/>
      </rPr>
      <t xml:space="preserve">（如智能测试、自动化回归）； 
③ </t>
    </r>
    <r>
      <rPr>
        <b/>
        <sz val="9"/>
        <rFont val="微软雅黑"/>
        <charset val="134"/>
      </rPr>
      <t>App融入AI智能化功能</t>
    </r>
    <r>
      <rPr>
        <sz val="9"/>
        <rFont val="微软雅黑"/>
        <charset val="134"/>
      </rPr>
      <t xml:space="preserve">（如智能推荐/搜索/客服/风控/内容审核），带来可度量的用户体验改善或业务指标提升； 
④ </t>
    </r>
    <r>
      <rPr>
        <b/>
        <sz val="9"/>
        <rFont val="微软雅黑"/>
        <charset val="134"/>
      </rPr>
      <t>AI驱动运营流程智能化</t>
    </r>
    <r>
      <rPr>
        <sz val="9"/>
        <rFont val="微软雅黑"/>
        <charset val="134"/>
      </rPr>
      <t xml:space="preserve">（如A/B测试自动化、用户反馈智能分析），带来可量化的人效提升；
</t>
    </r>
    <r>
      <rPr>
        <sz val="9"/>
        <color theme="8"/>
        <rFont val="微软雅黑"/>
        <charset val="134"/>
      </rPr>
      <t>*须提供产品功能文档、技术方案、上线记录或价值数据报告作为佐证材料；</t>
    </r>
  </si>
  <si>
    <r>
      <t>5分：</t>
    </r>
    <r>
      <rPr>
        <sz val="9"/>
        <rFont val="微软雅黑"/>
        <charset val="134"/>
      </rPr>
      <t>主导至少1项AI项目落地，功能已正式上线并在实际业务中稳定运行，有清晰可量化的业务价值数据佐证（如用户规模、效率提升比例），影响范围覆盖核心开发环节/产品线核心场景；</t>
    </r>
    <r>
      <rPr>
        <b/>
        <sz val="9"/>
        <rFont val="微软雅黑"/>
        <charset val="134"/>
      </rPr>
      <t xml:space="preserve">
4分：</t>
    </r>
    <r>
      <rPr>
        <sz val="9"/>
        <rFont val="微软雅黑"/>
        <charset val="134"/>
      </rPr>
      <t>主导或深度参与1项AI项目落地，功能已上线或进入测试阶段，有明确的落地产出和初步价值数据；</t>
    </r>
    <r>
      <rPr>
        <b/>
        <sz val="9"/>
        <rFont val="微软雅黑"/>
        <charset val="134"/>
      </rPr>
      <t xml:space="preserve">
3分：</t>
    </r>
    <r>
      <rPr>
        <sz val="9"/>
        <rFont val="微软雅黑"/>
        <charset val="134"/>
      </rPr>
      <t>参与1项AI项目，有明确推进计划且已进入开发/联调阶段，可提供阶段性进展佐证；</t>
    </r>
    <r>
      <rPr>
        <b/>
        <sz val="9"/>
        <rFont val="微软雅黑"/>
        <charset val="134"/>
      </rPr>
      <t xml:space="preserve">
2分：</t>
    </r>
    <r>
      <rPr>
        <sz val="9"/>
        <rFont val="微软雅黑"/>
        <charset val="134"/>
      </rPr>
      <t>参与1项AI项目，但仍处于调研/规划阶段，尚未产生实质性价值输</t>
    </r>
    <r>
      <rPr>
        <b/>
        <sz val="9"/>
        <rFont val="微软雅黑"/>
        <charset val="134"/>
      </rPr>
      <t>出；
1分：</t>
    </r>
    <r>
      <rPr>
        <sz val="9"/>
        <rFont val="微软雅黑"/>
        <charset val="134"/>
      </rPr>
      <t>参与1项AI项目，但仅有初步书面规划方案；</t>
    </r>
    <r>
      <rPr>
        <b/>
        <sz val="9"/>
        <rFont val="微软雅黑"/>
        <charset val="134"/>
      </rPr>
      <t xml:space="preserve">
0分：</t>
    </r>
    <r>
      <rPr>
        <sz val="9"/>
        <rFont val="微软雅黑"/>
        <charset val="134"/>
      </rPr>
      <t>未参与任何AI项目，或无任何可证明推进的材料；</t>
    </r>
  </si>
  <si>
    <t xml:space="preserve">
**1. 项目概述**
本周期深度参与公司核心 AI 产品 **CameraClaw（AI 视频分析助手）** 的研发落地，作为 Android 端核心开发，承担第五~七期迭代、全量国际化、展会专项等关键模块交付。项目以端侧 AI 交互能力为核心，将 AI 视频分析能力融入门店巡检与业务管理场景，当前已完成核心功能开发并进入对外演示与展会验证阶段。
**2. AI 能力落地产出**
2.1 AI 交互架构落地
- 完成 AGUI 协议对话架构的 Android 端落地，支撑 AI 视频助手与后端大模型能力的流式交互通路；
- 引入策略模式工厂支撑多类 AI 交互卡片（任务创建、标准创建、中断、日报等）的统一分发，为后续 AI 能力扩展提供可复用的前端架构底座。
2.2 AI 业务场景功能交付 深度参与以下 AI 业务场景的端侧能力落地：
- **AI 任务管理**：定时任务创建、批量任务、任务列表与执行记录历史查询等全流程；
- **AI 多模态交互**：支持文本、图片、视频、文件多种模态的发送与展示；
- **AI 日报生成**：基于 AI 分析能力的日报卡片展示与交互；
- **即拍即检**：展会专项 AI 能力，支持现场拍摄即时分析与邮件报告推送。
2.3 AI 产品国际化落地 完成 ai_agent_v2 模块全量文案在 **8 语种（zh/en/zh_TW/ja/id/it/th/vi）** 的同步落地，支撑 AI 产品海外市场同步铺开，覆盖东南亚、东亚、欧洲核心市场。
**3. 落地进展与价值佐证**
3.1 项目进展
- 主线迭代第五~七期功能已完成开发并陆续提测/上线；
- 已完成面向公司高层的产品演示；
- 已在 **杭州展会现场验证**，支撑即拍即检等核心 AI 能力的现场展示，**圆满助力展会落地**。
3.2 初步价值体现
- **功能覆盖度**：AI 交互能力已覆盖任务管理、多模态交互、日报分析、即拍即检 4 大核心业务场景；
- **市场覆盖度**：通过 8 语种国际化支撑产品海外同步推广，覆盖主要目标市场；
- **客户触达**：通过杭州展会面向行业客户完成 AI 能力展示，为后续商业化落地奠定基础；
- **架构复用性**：AGUI 协议架构与策略模式卡片工厂具备高复用性，可标准化复用于后续 AI 类功能接入。
3.3 佐证材料
- 代码产出：第五~七期迭代代码已全部合入主干，可追溯；
- 展会记录：杭州展会现场 AI 视频助手功能演示记录；
- 高层演示记录：公司内部 AI 视频助手产品演示记录；
- 国际化交付物：8 语种 ARB 文件已同步提交并生成对应 Localizations 代码。</t>
  </si>
  <si>
    <t>工作饱和度</t>
  </si>
  <si>
    <t>JIRA填写情况</t>
  </si>
  <si>
    <r>
      <rPr>
        <sz val="9"/>
        <rFont val="微软雅黑"/>
        <charset val="134"/>
      </rPr>
      <t>考核周期内</t>
    </r>
    <r>
      <rPr>
        <b/>
        <sz val="9"/>
        <rFont val="微软雅黑"/>
        <charset val="134"/>
      </rPr>
      <t>工时填写</t>
    </r>
    <r>
      <rPr>
        <sz val="9"/>
        <rFont val="微软雅黑"/>
        <charset val="134"/>
      </rPr>
      <t>的及时性、准确性、合理性；</t>
    </r>
  </si>
  <si>
    <r>
      <rPr>
        <b/>
        <sz val="9"/>
        <rFont val="微软雅黑"/>
        <charset val="134"/>
      </rPr>
      <t>5分：</t>
    </r>
    <r>
      <rPr>
        <sz val="9"/>
        <rFont val="微软雅黑"/>
        <charset val="134"/>
      </rPr>
      <t xml:space="preserve">工时每日更新，颗粒度细，工时记录100%匹配工作产出，工时任务分配合理；
</t>
    </r>
    <r>
      <rPr>
        <b/>
        <sz val="9"/>
        <rFont val="微软雅黑"/>
        <charset val="134"/>
      </rPr>
      <t>4分：</t>
    </r>
    <r>
      <rPr>
        <sz val="9"/>
        <rFont val="微软雅黑"/>
        <charset val="134"/>
      </rPr>
      <t xml:space="preserve">工时每日更新，颗粒度细，工时记录误差≤10%，工时分配基本合理；
</t>
    </r>
    <r>
      <rPr>
        <b/>
        <sz val="9"/>
        <rFont val="微软雅黑"/>
        <charset val="134"/>
      </rPr>
      <t>3分：</t>
    </r>
    <r>
      <rPr>
        <sz val="9"/>
        <rFont val="微软雅黑"/>
        <charset val="134"/>
      </rPr>
      <t xml:space="preserve">工时基本每日更新，隔日补填次数≤2次，颗粒度较细，工时记录误差≤20%，工时分配基本合理；
</t>
    </r>
    <r>
      <rPr>
        <b/>
        <sz val="9"/>
        <rFont val="微软雅黑"/>
        <charset val="134"/>
      </rPr>
      <t>2分：</t>
    </r>
    <r>
      <rPr>
        <sz val="9"/>
        <rFont val="微软雅黑"/>
        <charset val="134"/>
      </rPr>
      <t xml:space="preserve">隔日补填次数≤5次或周更补填次数≤2次，颗粒度较粗，记录误差＞20%，工时分配较不合理（如改BUG时间占比多）；
</t>
    </r>
    <r>
      <rPr>
        <b/>
        <sz val="9"/>
        <rFont val="微软雅黑"/>
        <charset val="134"/>
      </rPr>
      <t>1分：</t>
    </r>
    <r>
      <rPr>
        <sz val="9"/>
        <rFont val="微软雅黑"/>
        <charset val="134"/>
      </rPr>
      <t xml:space="preserve">隔日补填次数＞5次或周更补填次数＞2次，颗粒度粗，无法反应真实工作状态和进度，工时分配不合理（虚假忙碌）；
</t>
    </r>
    <r>
      <rPr>
        <b/>
        <sz val="9"/>
        <rFont val="微软雅黑"/>
        <charset val="134"/>
      </rPr>
      <t>0分：</t>
    </r>
    <r>
      <rPr>
        <sz val="9"/>
        <rFont val="微软雅黑"/>
        <charset val="134"/>
      </rPr>
      <t>长期不更新，或虚假填写记录；</t>
    </r>
  </si>
  <si>
    <t>每日按时更新工时，颗粒度合理，精确到 1 小时，可准确反映实际工作内容与投入。
本月工时主要分布在以下板块：AI 视频助手核心迭代（第五~七期主线功能、AGUI 架构重构、全量国际化）、杭州展会专项（即拍即检新能力、银豹 Pos 适配）、线上稳定性治理（3 个 ANR 问题根因定位与修复方案落地）、万店掌录像回放 Timebar 模块重构、招财猫接口重构、Pos 与 IPC_Search 需求支持。
工时分布与实际工作重点高度一致，覆盖业务需求交付、架构重构、稳定性治理、跨项目支持等多维度工作，能够客观反映本周期实际投入饱和度。</t>
  </si>
  <si>
    <t>价值观匹配度</t>
  </si>
  <si>
    <t>协同性</t>
  </si>
  <si>
    <r>
      <rPr>
        <sz val="9"/>
        <color theme="1"/>
        <rFont val="微软雅黑"/>
        <charset val="134"/>
      </rPr>
      <t>考核周期内</t>
    </r>
    <r>
      <rPr>
        <b/>
        <sz val="9"/>
        <color theme="1"/>
        <rFont val="微软雅黑"/>
        <charset val="134"/>
      </rPr>
      <t>与项目组成员、跨部门同事协作</t>
    </r>
    <r>
      <rPr>
        <sz val="9"/>
        <color theme="1"/>
        <rFont val="微软雅黑"/>
        <charset val="134"/>
      </rPr>
      <t>是否顺畅；</t>
    </r>
  </si>
  <si>
    <r>
      <rPr>
        <b/>
        <sz val="9"/>
        <color rgb="FFFF0000"/>
        <rFont val="微软雅黑"/>
        <charset val="134"/>
      </rPr>
      <t>初始得分：3分</t>
    </r>
    <r>
      <rPr>
        <sz val="9"/>
        <color theme="1"/>
        <rFont val="微软雅黑"/>
        <charset val="134"/>
      </rPr>
      <t>，加减分规则如下：
1、态度消极，评审时不参与沟通，做无关的事情， -1分
2、临时需求推诿扯皮，-1分
3、主动积极响应需求，协助同事，+1分</t>
    </r>
  </si>
  <si>
    <t>- 快速响应后端调整：AI 视频助手项目后端多次调整 响应格式、消息格式、历史消息结构等，均第一时间完成端侧适配，保障联调节奏不受阻塞。
- 跨部门接口对齐：招财猫项目主动牵头与后端沟通 26 个接口的变更范围、复杂度分级与业务逻辑差异（如 specGroupType / skuType 等复杂字段），输出接口清单与三档排期方案，推动整体排期决策。
- 为测试提供调试支持：主动为测试同事提供 Charles 抓包能力（AI 视频助手 debug 模式下手机数据转发方案）与招财猫代理抓包能力，降低测试门槛，提升联调效率。
- 需求沟通前置参与：主动参与杭州展会专项、招财猫新版重构等重点需求的评审与预热沟通，提前识别技术风险点。</t>
  </si>
  <si>
    <t>创新性</t>
  </si>
  <si>
    <r>
      <rPr>
        <sz val="9"/>
        <color theme="1"/>
        <rFont val="微软雅黑"/>
        <charset val="134"/>
      </rPr>
      <t>考核周期内</t>
    </r>
    <r>
      <rPr>
        <b/>
        <sz val="9"/>
        <color theme="1"/>
        <rFont val="微软雅黑"/>
        <charset val="134"/>
      </rPr>
      <t>提交专利/技术提案</t>
    </r>
    <r>
      <rPr>
        <sz val="9"/>
        <color theme="1"/>
        <rFont val="微软雅黑"/>
        <charset val="134"/>
      </rPr>
      <t>等技术创新产出；</t>
    </r>
  </si>
  <si>
    <r>
      <rPr>
        <b/>
        <sz val="9"/>
        <color rgb="FFFF0000"/>
        <rFont val="微软雅黑"/>
        <charset val="134"/>
      </rPr>
      <t>初始得分：0分</t>
    </r>
    <r>
      <rPr>
        <sz val="9"/>
        <color theme="1"/>
        <rFont val="微软雅黑"/>
        <charset val="134"/>
      </rPr>
      <t>，得分规则如下：
1、引入新技术方案/工具落地（AI类不在此项计分），对团队有实际提升，+3分/条；
2、个人有专利技术授权，+3分/件；</t>
    </r>
  </si>
  <si>
    <t>**1. Timebar 滑动状态机架构**
针对万店掌录像回放模块原延迟 Handler 方案在跨天滑动场景下的根本性设计缺陷，自主设计并落地基于状态机模型（IDLE / SLIDING / PENDING / LOADED / ROLLBACK 五态）的新架构方案，以显式状态流转替代隐式时间等待逻辑。
方案已上线运行，彻底解决跨天滑动数据错乱、缓存污染等线上遗留问题，同时基于该架构平滑扩展出邻天数据预取、滑动回滚动画、无录像区间折半法跳转等能力，为后续时间轴类组件的演进提供了可复用的架构基础。</t>
  </si>
  <si>
    <t>月度绩效总分值</t>
  </si>
  <si>
    <t>——</t>
  </si>
  <si>
    <t>月度绩效考核等级：</t>
  </si>
  <si>
    <t>员工签字：</t>
  </si>
  <si>
    <t>评估人签字：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</si>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</sst>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_ "/>
    <numFmt numFmtId="181" formatCode="0.00_ "/>
    <numFmt numFmtId="182" formatCode="0_ "/>
  </numFmts>
  <fonts count="3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9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6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theme="8"/>
      <name val="微软雅黑"/>
      <charset val="134"/>
    </font>
    <font>
      <b/>
      <sz val="10"/>
      <color rgb="FF0070C0"/>
      <name val="微软雅黑"/>
      <charset val="134"/>
    </font>
    <font>
      <sz val="9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3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37" applyNumberFormat="0" applyAlignment="0" applyProtection="0">
      <alignment vertical="center"/>
    </xf>
    <xf numFmtId="0" fontId="22" fillId="12" borderId="38" applyNumberFormat="0" applyAlignment="0" applyProtection="0">
      <alignment vertical="center"/>
    </xf>
    <xf numFmtId="0" fontId="23" fillId="12" borderId="37" applyNumberFormat="0" applyAlignment="0" applyProtection="0">
      <alignment vertical="center"/>
    </xf>
    <xf numFmtId="0" fontId="24" fillId="13" borderId="39" applyNumberFormat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2" fillId="0" borderId="0"/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left" vertical="center"/>
    </xf>
    <xf numFmtId="0" fontId="3" fillId="2" borderId="2" xfId="49" applyFont="1" applyFill="1" applyBorder="1" applyAlignment="1">
      <alignment horizontal="left" vertical="center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3" fillId="2" borderId="4" xfId="49" applyFont="1" applyFill="1" applyBorder="1" applyAlignment="1">
      <alignment horizontal="left" vertical="center"/>
    </xf>
    <xf numFmtId="0" fontId="3" fillId="2" borderId="5" xfId="49" applyFont="1" applyFill="1" applyBorder="1" applyAlignment="1">
      <alignment horizontal="left" vertical="center"/>
    </xf>
    <xf numFmtId="0" fontId="1" fillId="3" borderId="6" xfId="0" applyFont="1" applyFill="1" applyBorder="1" applyAlignment="1" applyProtection="1">
      <alignment horizontal="left" vertical="center"/>
      <protection locked="0"/>
    </xf>
    <xf numFmtId="0" fontId="3" fillId="2" borderId="6" xfId="49" applyFont="1" applyFill="1" applyBorder="1" applyAlignment="1">
      <alignment horizontal="left" vertical="center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3" fillId="2" borderId="8" xfId="49" applyFont="1" applyFill="1" applyBorder="1" applyAlignment="1">
      <alignment horizontal="left" vertical="center"/>
    </xf>
    <xf numFmtId="0" fontId="3" fillId="2" borderId="9" xfId="49" applyFont="1" applyFill="1" applyBorder="1" applyAlignment="1">
      <alignment horizontal="left" vertical="center"/>
    </xf>
    <xf numFmtId="0" fontId="1" fillId="3" borderId="10" xfId="0" applyFont="1" applyFill="1" applyBorder="1" applyAlignment="1" applyProtection="1">
      <alignment horizontal="left" vertical="center"/>
      <protection locked="0"/>
    </xf>
    <xf numFmtId="0" fontId="3" fillId="2" borderId="10" xfId="49" applyFont="1" applyFill="1" applyBorder="1" applyAlignment="1">
      <alignment horizontal="left" vertical="center"/>
    </xf>
    <xf numFmtId="58" fontId="1" fillId="3" borderId="10" xfId="0" applyNumberFormat="1" applyFont="1" applyFill="1" applyBorder="1" applyAlignment="1" applyProtection="1">
      <alignment horizontal="left" vertical="center"/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49" applyFont="1" applyFill="1" applyBorder="1" applyAlignment="1">
      <alignment horizontal="center" vertical="center"/>
    </xf>
    <xf numFmtId="0" fontId="4" fillId="2" borderId="7" xfId="49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9" fontId="5" fillId="5" borderId="6" xfId="0" applyNumberFormat="1" applyFont="1" applyFill="1" applyBorder="1" applyAlignment="1">
      <alignment horizontal="center" vertical="center" wrapText="1"/>
    </xf>
    <xf numFmtId="180" fontId="5" fillId="3" borderId="6" xfId="49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49" applyFont="1" applyFill="1" applyBorder="1" applyAlignment="1" applyProtection="1">
      <alignment vertical="center" wrapText="1"/>
      <protection locked="0"/>
    </xf>
    <xf numFmtId="180" fontId="5" fillId="5" borderId="6" xfId="49" applyNumberFormat="1" applyFont="1" applyFill="1" applyBorder="1" applyAlignment="1" applyProtection="1">
      <alignment horizontal="center" vertical="center" wrapText="1"/>
      <protection locked="0"/>
    </xf>
    <xf numFmtId="0" fontId="5" fillId="6" borderId="7" xfId="49" applyFont="1" applyFill="1" applyBorder="1" applyAlignment="1" applyProtection="1">
      <alignment vertical="center" wrapText="1"/>
      <protection locked="0"/>
    </xf>
    <xf numFmtId="0" fontId="3" fillId="4" borderId="14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9" fontId="5" fillId="4" borderId="6" xfId="0" applyNumberFormat="1" applyFont="1" applyFill="1" applyBorder="1" applyAlignment="1">
      <alignment horizontal="center" vertical="center" wrapText="1"/>
    </xf>
    <xf numFmtId="180" fontId="5" fillId="7" borderId="6" xfId="49" applyNumberFormat="1" applyFont="1" applyFill="1" applyBorder="1" applyAlignment="1" applyProtection="1">
      <alignment horizontal="center" vertical="center" wrapText="1"/>
      <protection locked="0"/>
    </xf>
    <xf numFmtId="0" fontId="5" fillId="7" borderId="6" xfId="49" applyFont="1" applyFill="1" applyBorder="1" applyAlignment="1" applyProtection="1">
      <alignment vertical="center" wrapText="1"/>
      <protection locked="0"/>
    </xf>
    <xf numFmtId="180" fontId="5" fillId="4" borderId="6" xfId="49" applyNumberFormat="1" applyFont="1" applyFill="1" applyBorder="1" applyAlignment="1" applyProtection="1">
      <alignment horizontal="center" vertical="center" wrapText="1"/>
      <protection locked="0"/>
    </xf>
    <xf numFmtId="0" fontId="5" fillId="4" borderId="7" xfId="49" applyFont="1" applyFill="1" applyBorder="1" applyAlignment="1" applyProtection="1">
      <alignment vertical="center" wrapText="1"/>
      <protection locked="0"/>
    </xf>
    <xf numFmtId="0" fontId="3" fillId="4" borderId="15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9" fontId="3" fillId="8" borderId="6" xfId="0" applyNumberFormat="1" applyFont="1" applyFill="1" applyBorder="1" applyAlignment="1">
      <alignment horizontal="center" vertical="center"/>
    </xf>
    <xf numFmtId="181" fontId="3" fillId="8" borderId="6" xfId="49" applyNumberFormat="1" applyFont="1" applyFill="1" applyBorder="1" applyAlignment="1">
      <alignment horizontal="center" vertical="center"/>
    </xf>
    <xf numFmtId="0" fontId="3" fillId="8" borderId="6" xfId="49" applyFont="1" applyFill="1" applyBorder="1" applyAlignment="1">
      <alignment horizontal="center" vertical="center"/>
    </xf>
    <xf numFmtId="0" fontId="3" fillId="8" borderId="7" xfId="49" applyFont="1" applyFill="1" applyBorder="1" applyAlignment="1">
      <alignment horizontal="center" vertical="center"/>
    </xf>
    <xf numFmtId="0" fontId="3" fillId="8" borderId="8" xfId="49" applyFont="1" applyFill="1" applyBorder="1" applyAlignment="1" applyProtection="1">
      <alignment horizontal="center" vertical="center"/>
    </xf>
    <xf numFmtId="0" fontId="3" fillId="8" borderId="17" xfId="49" applyFont="1" applyFill="1" applyBorder="1" applyAlignment="1" applyProtection="1">
      <alignment horizontal="center" vertical="center"/>
    </xf>
    <xf numFmtId="0" fontId="3" fillId="8" borderId="9" xfId="49" applyFont="1" applyFill="1" applyBorder="1" applyAlignment="1" applyProtection="1">
      <alignment horizontal="center" vertical="center"/>
    </xf>
    <xf numFmtId="0" fontId="6" fillId="8" borderId="10" xfId="49" applyFont="1" applyFill="1" applyBorder="1" applyAlignment="1" applyProtection="1">
      <alignment horizontal="center" vertical="center"/>
    </xf>
    <xf numFmtId="0" fontId="6" fillId="8" borderId="11" xfId="49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7" borderId="0" xfId="0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1" fillId="5" borderId="0" xfId="0" applyFont="1" applyFill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7" fillId="0" borderId="0" xfId="0" applyFont="1">
      <alignment vertical="center"/>
    </xf>
    <xf numFmtId="181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1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82" fontId="7" fillId="0" borderId="19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7" borderId="6" xfId="49" applyFont="1" applyFill="1" applyBorder="1" applyAlignment="1" applyProtection="1" quotePrefix="1">
      <alignment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showGridLines="0" topLeftCell="A9" workbookViewId="0">
      <selection activeCell="I16" sqref="I16"/>
    </sheetView>
  </sheetViews>
  <sheetFormatPr defaultColWidth="9" defaultRowHeight="16.5"/>
  <cols>
    <col min="1" max="1" width="13.3416666666667" style="64" customWidth="1"/>
    <col min="2" max="2" width="10.5583333333333" style="65" customWidth="1"/>
    <col min="3" max="6" width="20.5083333333333" style="64" customWidth="1"/>
    <col min="7" max="7" width="3.65833333333333" style="64" customWidth="1"/>
    <col min="8" max="10" width="14.5333333333333" style="66" customWidth="1"/>
    <col min="11" max="16384" width="9" style="64"/>
  </cols>
  <sheetData>
    <row r="1" ht="20" customHeight="1" spans="1:14">
      <c r="A1" s="67" t="s">
        <v>0</v>
      </c>
      <c r="B1" s="68" t="s">
        <v>1</v>
      </c>
      <c r="C1" s="69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ht="20" customHeight="1" spans="1:14">
      <c r="A2" s="71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ht="20" customHeight="1" spans="1:14">
      <c r="A3" s="71" t="s">
        <v>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ht="20" customHeight="1" spans="1:14">
      <c r="B4" s="72" t="s">
        <v>4</v>
      </c>
      <c r="C4" s="73" t="s">
        <v>5</v>
      </c>
      <c r="E4" s="74"/>
    </row>
    <row r="5" ht="20" customHeight="1" spans="1:14">
      <c r="B5" s="75">
        <v>5</v>
      </c>
      <c r="C5" s="76" t="s">
        <v>6</v>
      </c>
    </row>
    <row r="6" ht="20" customHeight="1" spans="1:14">
      <c r="B6" s="75">
        <v>4</v>
      </c>
      <c r="C6" s="76" t="s">
        <v>7</v>
      </c>
    </row>
    <row r="7" ht="20" customHeight="1" spans="1:14">
      <c r="B7" s="75">
        <v>3</v>
      </c>
      <c r="C7" s="76" t="s">
        <v>8</v>
      </c>
    </row>
    <row r="8" ht="20" customHeight="1" spans="1:14">
      <c r="B8" s="75">
        <v>2</v>
      </c>
      <c r="C8" s="76" t="s">
        <v>9</v>
      </c>
    </row>
    <row r="9" ht="20" customHeight="1" spans="1:14">
      <c r="B9" s="77">
        <v>1</v>
      </c>
      <c r="C9" s="78" t="s">
        <v>10</v>
      </c>
    </row>
    <row r="10" ht="20" customHeight="1" spans="1:14">
      <c r="B10" s="79">
        <v>0</v>
      </c>
      <c r="C10" s="80" t="s">
        <v>11</v>
      </c>
    </row>
    <row r="11" ht="20" customHeight="1" spans="1:14">
      <c r="A11" s="71" t="s">
        <v>12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ht="20" customHeight="1" spans="1:14">
      <c r="B12" s="81" t="s">
        <v>13</v>
      </c>
      <c r="C12" s="82" t="s">
        <v>14</v>
      </c>
      <c r="D12" s="82" t="s">
        <v>15</v>
      </c>
      <c r="E12" s="82"/>
      <c r="F12" s="83"/>
      <c r="G12" s="71"/>
      <c r="K12" s="71"/>
      <c r="L12" s="71"/>
      <c r="M12" s="71"/>
      <c r="N12" s="71"/>
    </row>
    <row r="13" ht="20" customHeight="1" spans="1:14">
      <c r="B13" s="84" t="s">
        <v>16</v>
      </c>
      <c r="C13" s="85" t="s">
        <v>17</v>
      </c>
      <c r="D13" s="86" t="s">
        <v>18</v>
      </c>
      <c r="E13" s="86"/>
      <c r="F13" s="87"/>
      <c r="G13" s="71"/>
      <c r="K13" s="71"/>
      <c r="L13" s="71"/>
      <c r="M13" s="71"/>
      <c r="N13" s="71"/>
    </row>
    <row r="14" ht="20" customHeight="1" spans="1:14">
      <c r="B14" s="84" t="s">
        <v>19</v>
      </c>
      <c r="C14" s="85" t="s">
        <v>20</v>
      </c>
      <c r="D14" s="86" t="s">
        <v>21</v>
      </c>
      <c r="E14" s="86"/>
      <c r="F14" s="87"/>
      <c r="G14" s="71"/>
      <c r="K14" s="71"/>
      <c r="L14" s="71"/>
      <c r="M14" s="71"/>
      <c r="N14" s="71"/>
    </row>
    <row r="15" ht="20" customHeight="1" spans="1:14">
      <c r="B15" s="84" t="s">
        <v>22</v>
      </c>
      <c r="C15" s="85" t="s">
        <v>23</v>
      </c>
      <c r="D15" s="86" t="s">
        <v>24</v>
      </c>
      <c r="E15" s="86"/>
      <c r="F15" s="87"/>
      <c r="G15" s="71"/>
      <c r="K15" s="71"/>
      <c r="L15" s="71"/>
      <c r="M15" s="71"/>
      <c r="N15" s="71"/>
    </row>
    <row r="16" ht="20" customHeight="1" spans="1:14">
      <c r="B16" s="88" t="s">
        <v>25</v>
      </c>
      <c r="C16" s="89" t="s">
        <v>26</v>
      </c>
      <c r="D16" s="90" t="s">
        <v>27</v>
      </c>
      <c r="E16" s="91"/>
      <c r="F16" s="92"/>
      <c r="G16" s="71"/>
      <c r="K16" s="71"/>
      <c r="L16" s="71"/>
      <c r="M16" s="71"/>
      <c r="N16" s="71"/>
    </row>
    <row r="17" ht="20" customHeight="1" spans="1:15">
      <c r="B17" s="93" t="s">
        <v>28</v>
      </c>
      <c r="C17" s="94" t="s">
        <v>29</v>
      </c>
      <c r="D17" s="95" t="s">
        <v>30</v>
      </c>
      <c r="E17" s="95"/>
      <c r="F17" s="96"/>
      <c r="G17" s="71"/>
      <c r="K17" s="71"/>
      <c r="L17" s="71"/>
      <c r="M17" s="71"/>
      <c r="N17" s="71"/>
    </row>
    <row r="18" ht="20" customHeight="1" spans="1:15">
      <c r="A18" s="71" t="s">
        <v>31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97"/>
    </row>
    <row r="19" ht="20" customHeight="1" spans="1:15">
      <c r="A19" s="71" t="s">
        <v>32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97"/>
    </row>
    <row r="20" ht="20" customHeight="1" spans="1:15">
      <c r="A20" s="71" t="s">
        <v>33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97"/>
    </row>
    <row r="21" ht="20" customHeight="1" spans="1:15">
      <c r="A21" s="71" t="s">
        <v>34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97"/>
    </row>
    <row r="22" ht="20" customHeight="1" spans="1:15">
      <c r="A22" s="71" t="s">
        <v>35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</row>
    <row r="23" ht="20" customHeight="1" spans="1:15">
      <c r="A23" s="71" t="s">
        <v>36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</row>
    <row r="24" ht="20" customHeight="1"/>
    <row r="25" ht="20" customHeight="1"/>
  </sheetData>
  <sheetProtection selectLockedCells="1"/>
  <mergeCells count="16">
    <mergeCell ref="B1:C1"/>
    <mergeCell ref="A2:N2"/>
    <mergeCell ref="A3:N3"/>
    <mergeCell ref="A11:N11"/>
    <mergeCell ref="D12:F12"/>
    <mergeCell ref="D13:F13"/>
    <mergeCell ref="D14:F14"/>
    <mergeCell ref="D15:F15"/>
    <mergeCell ref="D16:F16"/>
    <mergeCell ref="D17:F17"/>
    <mergeCell ref="A18:N18"/>
    <mergeCell ref="A19:N19"/>
    <mergeCell ref="A20:N20"/>
    <mergeCell ref="A21:N21"/>
    <mergeCell ref="A22:N22"/>
    <mergeCell ref="A23:N23"/>
  </mergeCells>
  <pageMargins left="0.699305555555556" right="0.699305555555556" top="0.75" bottom="0.75" header="0.3" footer="0.3"/>
  <pageSetup paperSize="9" scale="6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="120" zoomScaleNormal="120" topLeftCell="C13" workbookViewId="0">
      <selection activeCell="G14" sqref="G14"/>
    </sheetView>
  </sheetViews>
  <sheetFormatPr defaultColWidth="9" defaultRowHeight="14.25"/>
  <cols>
    <col min="1" max="1" width="13.5" style="1" customWidth="1"/>
    <col min="2" max="2" width="17.525" style="1" customWidth="1"/>
    <col min="3" max="3" width="45.4083333333333" style="1" customWidth="1"/>
    <col min="4" max="4" width="80.2416666666667" style="1" customWidth="1"/>
    <col min="5" max="6" width="7.575" style="1" customWidth="1"/>
    <col min="7" max="7" width="20.5333333333333" style="1" customWidth="1"/>
    <col min="8" max="8" width="7.575" style="1" customWidth="1"/>
    <col min="9" max="9" width="20.5333333333333" style="1" customWidth="1"/>
    <col min="10" max="16384" width="9" style="1"/>
  </cols>
  <sheetData>
    <row r="1" ht="40" customHeight="1" spans="1:9">
      <c r="A1" s="2" t="s">
        <v>37</v>
      </c>
      <c r="B1" s="2"/>
      <c r="C1" s="2"/>
      <c r="D1" s="2"/>
      <c r="E1" s="2"/>
      <c r="F1" s="2"/>
      <c r="G1" s="2"/>
      <c r="H1" s="2"/>
      <c r="I1" s="2"/>
    </row>
    <row r="2" ht="20" customHeight="1" spans="1:9">
      <c r="A2" s="3" t="s">
        <v>38</v>
      </c>
      <c r="B2" s="4"/>
      <c r="C2" s="5" t="s">
        <v>39</v>
      </c>
      <c r="D2" s="4" t="s">
        <v>40</v>
      </c>
      <c r="E2" s="5" t="s">
        <v>41</v>
      </c>
      <c r="F2" s="5"/>
      <c r="G2" s="5"/>
      <c r="H2" s="5"/>
      <c r="I2" s="6"/>
    </row>
    <row r="3" ht="20" customHeight="1" spans="1:9">
      <c r="A3" s="7" t="s">
        <v>42</v>
      </c>
      <c r="B3" s="8"/>
      <c r="C3" s="9" t="s">
        <v>43</v>
      </c>
      <c r="D3" s="10" t="s">
        <v>44</v>
      </c>
      <c r="E3" s="9" t="s">
        <v>45</v>
      </c>
      <c r="F3" s="9"/>
      <c r="G3" s="9"/>
      <c r="H3" s="9"/>
      <c r="I3" s="11"/>
    </row>
    <row r="4" ht="20" customHeight="1" spans="1:9">
      <c r="A4" s="12" t="s">
        <v>46</v>
      </c>
      <c r="B4" s="13"/>
      <c r="C4" s="14" t="s">
        <v>47</v>
      </c>
      <c r="D4" s="15" t="s">
        <v>48</v>
      </c>
      <c r="E4" s="16" t="s">
        <v>49</v>
      </c>
      <c r="F4" s="14"/>
      <c r="G4" s="14"/>
      <c r="H4" s="14"/>
      <c r="I4" s="17"/>
    </row>
    <row r="5" ht="20" customHeight="1"/>
    <row r="6" ht="20" customHeight="1" spans="1:9">
      <c r="A6" s="18" t="s">
        <v>50</v>
      </c>
      <c r="B6" s="19" t="s">
        <v>51</v>
      </c>
      <c r="C6" s="19" t="s">
        <v>52</v>
      </c>
      <c r="D6" s="19" t="s">
        <v>53</v>
      </c>
      <c r="E6" s="19" t="s">
        <v>54</v>
      </c>
      <c r="F6" s="20" t="s">
        <v>55</v>
      </c>
      <c r="G6" s="20"/>
      <c r="H6" s="20" t="s">
        <v>56</v>
      </c>
      <c r="I6" s="21"/>
    </row>
    <row r="7" ht="20" customHeight="1" spans="1:9">
      <c r="A7" s="22"/>
      <c r="B7" s="23"/>
      <c r="C7" s="23"/>
      <c r="D7" s="23"/>
      <c r="E7" s="23"/>
      <c r="F7" s="24" t="s">
        <v>57</v>
      </c>
      <c r="G7" s="24" t="s">
        <v>58</v>
      </c>
      <c r="H7" s="24" t="s">
        <v>59</v>
      </c>
      <c r="I7" s="25" t="s">
        <v>60</v>
      </c>
    </row>
    <row r="8" ht="409.5" spans="1:9">
      <c r="A8" s="26" t="s">
        <v>61</v>
      </c>
      <c r="B8" s="27" t="s">
        <v>62</v>
      </c>
      <c r="C8" s="28" t="s">
        <v>63</v>
      </c>
      <c r="D8" s="29" t="s">
        <v>64</v>
      </c>
      <c r="E8" s="30">
        <v>0.45</v>
      </c>
      <c r="F8" s="31">
        <v>4.5</v>
      </c>
      <c r="G8" s="32" t="s">
        <v>65</v>
      </c>
      <c r="H8" s="33"/>
      <c r="I8" s="34"/>
    </row>
    <row r="9" ht="409.5" spans="1:9">
      <c r="A9" s="35"/>
      <c r="B9" s="27" t="s">
        <v>66</v>
      </c>
      <c r="C9" s="28" t="s">
        <v>67</v>
      </c>
      <c r="D9" s="29" t="s">
        <v>68</v>
      </c>
      <c r="E9" s="30">
        <v>0.2</v>
      </c>
      <c r="F9" s="31">
        <v>4.5</v>
      </c>
      <c r="G9" s="32" t="s">
        <v>69</v>
      </c>
      <c r="H9" s="33"/>
      <c r="I9" s="34"/>
    </row>
    <row r="10" ht="130" customHeight="1" spans="1:9">
      <c r="A10" s="36" t="s">
        <v>70</v>
      </c>
      <c r="B10" s="27" t="s">
        <v>71</v>
      </c>
      <c r="C10" s="28" t="s">
        <v>72</v>
      </c>
      <c r="D10" s="29" t="s">
        <v>73</v>
      </c>
      <c r="E10" s="30">
        <v>0.05</v>
      </c>
      <c r="F10" s="31">
        <v>4</v>
      </c>
      <c r="G10" s="32" t="s">
        <v>74</v>
      </c>
      <c r="H10" s="33"/>
      <c r="I10" s="34"/>
    </row>
    <row r="11" ht="409.5" spans="1:9">
      <c r="A11" s="36"/>
      <c r="B11" s="27" t="s">
        <v>75</v>
      </c>
      <c r="C11" s="28" t="s">
        <v>76</v>
      </c>
      <c r="D11" s="29" t="s">
        <v>77</v>
      </c>
      <c r="E11" s="30">
        <v>0.1</v>
      </c>
      <c r="F11" s="31">
        <v>4.5</v>
      </c>
      <c r="G11" s="32" t="s">
        <v>78</v>
      </c>
      <c r="H11" s="33"/>
      <c r="I11" s="34"/>
    </row>
    <row r="12" ht="299.25" spans="1:9">
      <c r="A12" s="37" t="s">
        <v>79</v>
      </c>
      <c r="B12" s="27" t="s">
        <v>80</v>
      </c>
      <c r="C12" s="28" t="s">
        <v>81</v>
      </c>
      <c r="D12" s="29" t="s">
        <v>82</v>
      </c>
      <c r="E12" s="30">
        <v>0.1</v>
      </c>
      <c r="F12" s="31">
        <v>4.5</v>
      </c>
      <c r="G12" s="32" t="s">
        <v>83</v>
      </c>
      <c r="H12" s="33"/>
      <c r="I12" s="34"/>
    </row>
    <row r="13" ht="370.5" spans="1:9">
      <c r="A13" s="26" t="s">
        <v>84</v>
      </c>
      <c r="B13" s="38" t="s">
        <v>85</v>
      </c>
      <c r="C13" s="39" t="s">
        <v>86</v>
      </c>
      <c r="D13" s="40" t="s">
        <v>87</v>
      </c>
      <c r="E13" s="41">
        <v>0.05</v>
      </c>
      <c r="F13" s="42">
        <v>3</v>
      </c>
      <c r="G13" s="98" t="s">
        <v>88</v>
      </c>
      <c r="H13" s="44"/>
      <c r="I13" s="45"/>
    </row>
    <row r="14" ht="299.25" spans="1:9">
      <c r="A14" s="46"/>
      <c r="B14" s="38" t="s">
        <v>89</v>
      </c>
      <c r="C14" s="39" t="s">
        <v>90</v>
      </c>
      <c r="D14" s="40" t="s">
        <v>91</v>
      </c>
      <c r="E14" s="41">
        <v>0.05</v>
      </c>
      <c r="F14" s="42">
        <v>3</v>
      </c>
      <c r="G14" s="43" t="s">
        <v>92</v>
      </c>
      <c r="H14" s="44"/>
      <c r="I14" s="45"/>
    </row>
    <row r="15" ht="19" customHeight="1" spans="1:9">
      <c r="A15" s="47" t="s">
        <v>93</v>
      </c>
      <c r="B15" s="48"/>
      <c r="C15" s="48"/>
      <c r="D15" s="49"/>
      <c r="E15" s="50">
        <f>SUM(E8:E14)</f>
        <v>1</v>
      </c>
      <c r="F15" s="51">
        <f>E8*F8+E9*F9+E10*F10+E11*F11+E12*F12+E13*F13+E14*F14</f>
        <v>4.325</v>
      </c>
      <c r="G15" s="52" t="s">
        <v>94</v>
      </c>
      <c r="H15" s="51">
        <f>E8*H8+E9*H9+E10*H10+E11*H11+E12*H12+E13*H13+E14*H14</f>
        <v>0</v>
      </c>
      <c r="I15" s="53" t="s">
        <v>94</v>
      </c>
    </row>
    <row r="16" ht="20" customHeight="1" spans="1:9">
      <c r="A16" s="54" t="s">
        <v>95</v>
      </c>
      <c r="B16" s="55"/>
      <c r="C16" s="56"/>
      <c r="D16" s="57" t="str">
        <f>IF(H15&lt;=2.75,"D",IF(H15&lt;=3.25,"C-",IF(H15&lt;=3.75,"C",IF(H15&lt;=4.25,"B",IF(H15&gt;4.25,"A")))))</f>
        <v>D</v>
      </c>
      <c r="E16" s="57"/>
      <c r="F16" s="57"/>
      <c r="G16" s="57"/>
      <c r="H16" s="57"/>
      <c r="I16" s="58"/>
    </row>
    <row r="17" ht="20" customHeight="1"/>
    <row r="18" ht="20" customHeight="1" spans="1:9">
      <c r="A18" s="59" t="s">
        <v>96</v>
      </c>
      <c r="B18" s="60" t="s">
        <v>39</v>
      </c>
      <c r="C18" s="60"/>
      <c r="D18" s="61" t="s">
        <v>97</v>
      </c>
      <c r="E18" s="62"/>
      <c r="F18" s="62"/>
      <c r="G18" s="62"/>
      <c r="H18" s="62"/>
      <c r="I18" s="62"/>
    </row>
    <row r="19" ht="20" customHeight="1" spans="1:9">
      <c r="A19" s="59" t="s">
        <v>98</v>
      </c>
      <c r="B19" s="60" t="s">
        <v>49</v>
      </c>
      <c r="C19" s="60"/>
      <c r="D19" s="63" t="s">
        <v>98</v>
      </c>
      <c r="E19" s="62"/>
      <c r="F19" s="62"/>
      <c r="G19" s="62"/>
      <c r="H19" s="62"/>
      <c r="I19" s="62"/>
    </row>
  </sheetData>
  <mergeCells count="24">
    <mergeCell ref="A1:I1"/>
    <mergeCell ref="A2:B2"/>
    <mergeCell ref="E2:I2"/>
    <mergeCell ref="A3:B3"/>
    <mergeCell ref="E3:I3"/>
    <mergeCell ref="A4:B4"/>
    <mergeCell ref="E4:I4"/>
    <mergeCell ref="F6:G6"/>
    <mergeCell ref="H6:I6"/>
    <mergeCell ref="A15:D15"/>
    <mergeCell ref="A16:C16"/>
    <mergeCell ref="D16:I16"/>
    <mergeCell ref="B18:C18"/>
    <mergeCell ref="E18:I18"/>
    <mergeCell ref="B19:C19"/>
    <mergeCell ref="E19:I19"/>
    <mergeCell ref="A6:A7"/>
    <mergeCell ref="A8:A9"/>
    <mergeCell ref="A10:A11"/>
    <mergeCell ref="A13:A14"/>
    <mergeCell ref="B6:B7"/>
    <mergeCell ref="C6:C7"/>
    <mergeCell ref="D6:D7"/>
    <mergeCell ref="E6:E7"/>
  </mergeCells>
  <dataValidations count="1">
    <dataValidation type="list" allowBlank="1" showInputMessage="1" showErrorMessage="1" sqref="F8:F12 H8:H12">
      <formula1>"5.0,4.5,4.0,3.5,3.0,2.5,2.0,1.5,1.0,0.5,0"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填表说明</vt:lpstr>
      <vt:lpstr>Android、iOS开发-员工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zhaoxuan</dc:creator>
  <cp:lastModifiedBy>jjjjjjava</cp:lastModifiedBy>
  <dcterms:created xsi:type="dcterms:W3CDTF">2022-05-19T01:48:00Z</dcterms:created>
  <dcterms:modified xsi:type="dcterms:W3CDTF">2026-04-21T05:09:50Z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A257F69FF68543508A5FEF2F4CF042C7_13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